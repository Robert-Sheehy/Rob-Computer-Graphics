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0036625\Desktop\GC26\Assignment Briefs\"/>
    </mc:Choice>
  </mc:AlternateContent>
  <xr:revisionPtr revIDLastSave="0" documentId="8_{7BD41B9B-0D75-422A-8C2A-83CC701BE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<sst xmlns="http://schemas.openxmlformats.org/spreadsheetml/2006/main" count="44" uniqueCount="40">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</sst>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5</xdr:row>
      <xdr:rowOff>201706</xdr:rowOff>
    </xdr:from>
    <xdr:to>
      <xdr:col>4</xdr:col>
      <xdr:colOff>776386</xdr:colOff>
      <xdr:row>5</xdr:row>
      <xdr:rowOff>1640182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3CF35-4AE0-4DC9-801B-A9718B04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853" y="6017559"/>
          <a:ext cx="2715004" cy="1438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1</xdr:rowOff>
    </xdr:from>
    <xdr:to>
      <xdr:col>4</xdr:col>
      <xdr:colOff>1036813</xdr:colOff>
      <xdr:row>2</xdr:row>
      <xdr:rowOff>1725707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A3737C-B25E-4F39-81CF-1B38D7A8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353" y="313766"/>
          <a:ext cx="3546931" cy="1725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4" zoomScale="145" zoomScaleNormal="145" workbookViewId="0">
      <selection activeCell="A28" sqref="A14:XFD28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49" customWidth="1"/>
    <col min="11" max="11" width="57" style="25" customWidth="1"/>
  </cols>
  <sheetData>
    <row r="1" spans="1:10" ht="12.75" customHeight="1" x14ac:dyDescent="0.2">
      <c r="A1" s="38" t="s">
        <v>19</v>
      </c>
      <c r="B1" s="38"/>
      <c r="C1" s="38"/>
      <c r="D1" s="38"/>
      <c r="E1" s="38"/>
      <c r="F1" s="38"/>
    </row>
    <row r="2" spans="1:10" ht="12.75" customHeight="1" x14ac:dyDescent="0.2">
      <c r="A2" s="39" t="s">
        <v>36</v>
      </c>
      <c r="B2" s="39"/>
      <c r="C2" s="39"/>
      <c r="D2" s="39"/>
      <c r="E2" s="39"/>
      <c r="F2" s="39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366252</v>
      </c>
    </row>
    <row r="6" spans="1:10" ht="12.75" customHeight="1" thickBot="1" x14ac:dyDescent="0.3">
      <c r="A6" s="1" t="s">
        <v>17</v>
      </c>
      <c r="B6" s="1" t="s">
        <v>5</v>
      </c>
      <c r="C6" s="40">
        <f>MOD(C4,100)-50</f>
        <v>2</v>
      </c>
    </row>
    <row r="7" spans="1:10" ht="12.75" customHeight="1" thickTop="1" thickBot="1" x14ac:dyDescent="0.3">
      <c r="A7" s="1" t="s">
        <v>23</v>
      </c>
      <c r="B7" s="1" t="s">
        <v>24</v>
      </c>
      <c r="C7" s="41">
        <f>C21/$G$21</f>
        <v>0.99076429675591937</v>
      </c>
      <c r="D7" s="40">
        <f t="shared" ref="D7:E7" si="0">D21/$G$21</f>
        <v>-9.5880415815088965E-2</v>
      </c>
      <c r="E7" s="42">
        <f t="shared" si="0"/>
        <v>-9.5880415815088965E-2</v>
      </c>
      <c r="F7" s="43" t="s">
        <v>37</v>
      </c>
      <c r="G7" s="46">
        <f>C21</f>
        <v>31</v>
      </c>
      <c r="H7" s="25">
        <f t="shared" ref="H7:I7" si="1">D21</f>
        <v>-3</v>
      </c>
      <c r="I7" s="47">
        <f t="shared" si="1"/>
        <v>-3</v>
      </c>
      <c r="J7" s="49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41">
        <f>C22</f>
        <v>1</v>
      </c>
      <c r="D8" s="40">
        <f t="shared" ref="D8:E8" si="2">D22</f>
        <v>1</v>
      </c>
      <c r="E8" s="42">
        <f t="shared" si="2"/>
        <v>3</v>
      </c>
    </row>
    <row r="9" spans="1:10" ht="12.75" customHeight="1" thickTop="1" thickBot="1" x14ac:dyDescent="0.3">
      <c r="A9" s="1" t="s">
        <v>26</v>
      </c>
      <c r="B9" s="1" t="s">
        <v>2</v>
      </c>
      <c r="C9" s="41">
        <f>C23</f>
        <v>-3</v>
      </c>
      <c r="D9" s="40">
        <f t="shared" ref="D9:E9" si="3">D23</f>
        <v>0</v>
      </c>
      <c r="E9" s="42">
        <f t="shared" si="3"/>
        <v>-2</v>
      </c>
    </row>
    <row r="10" spans="1:10" ht="12.75" customHeight="1" thickTop="1" thickBot="1" x14ac:dyDescent="0.3">
      <c r="C10" s="40"/>
    </row>
    <row r="11" spans="1:10" ht="12.75" customHeight="1" thickTop="1" thickBot="1" x14ac:dyDescent="0.3">
      <c r="A11" s="2" t="s">
        <v>29</v>
      </c>
      <c r="B11" s="1" t="s">
        <v>6</v>
      </c>
      <c r="C11" s="41">
        <f>C25</f>
        <v>33</v>
      </c>
      <c r="D11" s="40">
        <f t="shared" ref="D11:E11" si="4">D25</f>
        <v>0</v>
      </c>
      <c r="E11" s="42">
        <f t="shared" si="4"/>
        <v>47</v>
      </c>
    </row>
    <row r="12" spans="1:10" ht="12.75" customHeight="1" thickTop="1" thickBot="1" x14ac:dyDescent="0.3">
      <c r="A12" s="2"/>
      <c r="B12" s="1" t="s">
        <v>9</v>
      </c>
      <c r="C12" s="41">
        <f>C26</f>
        <v>-3</v>
      </c>
      <c r="D12" s="50">
        <f t="shared" ref="D12:E12" si="5">D26</f>
        <v>1</v>
      </c>
      <c r="E12" s="42">
        <f t="shared" si="5"/>
        <v>3</v>
      </c>
      <c r="F12" s="43"/>
      <c r="G12" s="51"/>
      <c r="H12" s="48"/>
      <c r="I12" s="51"/>
    </row>
    <row r="13" spans="1:10" ht="12.75" customHeight="1" thickTop="1" thickBot="1" x14ac:dyDescent="0.3">
      <c r="A13" s="1"/>
      <c r="B13" s="1" t="s">
        <v>28</v>
      </c>
      <c r="C13" s="41">
        <f>C27/$G$27</f>
        <v>-6.4084133611200148E-2</v>
      </c>
      <c r="D13" s="40">
        <f t="shared" ref="D13:E13" si="6">D27/$G$27</f>
        <v>-9.6126200416800214E-2</v>
      </c>
      <c r="E13" s="42">
        <f t="shared" si="6"/>
        <v>0.99330407097360229</v>
      </c>
      <c r="F13" s="43" t="s">
        <v>32</v>
      </c>
      <c r="G13" s="46">
        <f>C27</f>
        <v>-2</v>
      </c>
      <c r="H13" s="25">
        <f t="shared" ref="H13:I13" si="7">D27</f>
        <v>-3</v>
      </c>
      <c r="I13" s="47">
        <f t="shared" si="7"/>
        <v>31</v>
      </c>
      <c r="J13" s="49" t="s">
        <v>39</v>
      </c>
    </row>
    <row r="14" spans="1:10" ht="12.75" hidden="1" customHeight="1" thickTop="1" x14ac:dyDescent="0.25">
      <c r="A14" s="1"/>
      <c r="B14" s="1"/>
      <c r="C14" s="40"/>
    </row>
    <row r="15" spans="1:10" ht="12.75" hidden="1" customHeight="1" x14ac:dyDescent="0.25">
      <c r="A15" s="1"/>
      <c r="B15" s="1"/>
      <c r="C15" s="40"/>
    </row>
    <row r="16" spans="1:10" ht="12.75" hidden="1" customHeight="1" x14ac:dyDescent="0.25">
      <c r="A16" s="1"/>
      <c r="B16" s="1"/>
      <c r="C16" s="40"/>
    </row>
    <row r="17" spans="1:7" ht="12.75" hidden="1" customHeight="1" x14ac:dyDescent="0.25">
      <c r="A17" s="1"/>
      <c r="B17" s="1"/>
      <c r="C17" s="40"/>
    </row>
    <row r="18" spans="1:7" ht="12.75" hidden="1" customHeight="1" x14ac:dyDescent="0.25">
      <c r="A18" s="1"/>
      <c r="B18" s="1"/>
      <c r="C18" s="40"/>
    </row>
    <row r="19" spans="1:7" ht="12.75" hidden="1" customHeight="1" x14ac:dyDescent="0.25">
      <c r="A19" s="1"/>
      <c r="B19" s="1"/>
      <c r="C19" s="40"/>
    </row>
    <row r="20" spans="1:7" ht="12.75" hidden="1" customHeight="1" x14ac:dyDescent="0.25">
      <c r="A20" s="1"/>
      <c r="B20" s="1"/>
      <c r="C20" s="40"/>
    </row>
    <row r="21" spans="1:7" ht="12.75" hidden="1" customHeight="1" x14ac:dyDescent="0.25">
      <c r="C21" s="44">
        <f>INT((C4/10000))-5</f>
        <v>31</v>
      </c>
      <c r="D21" s="44">
        <f>MOD(INT((C4/100)),10)-5</f>
        <v>-3</v>
      </c>
      <c r="E21" s="44">
        <f>MOD(INT((C4/100)),10)-5</f>
        <v>-3</v>
      </c>
      <c r="G21" s="25">
        <f>SQRT(C21*C21+D21*D21+E21*E21)</f>
        <v>31.28897569432403</v>
      </c>
    </row>
    <row r="22" spans="1:7" ht="12.75" hidden="1" customHeight="1" x14ac:dyDescent="0.25">
      <c r="C22" s="45">
        <f>MOD(INT((C4/10000)),6) + 1</f>
        <v>1</v>
      </c>
      <c r="D22" s="45">
        <f>MOD(MOD(INT((C4/1000)),10),6) +1</f>
        <v>1</v>
      </c>
      <c r="E22" s="45">
        <f>MOD(MOD(INT((C4/100)),10),6) +1</f>
        <v>3</v>
      </c>
      <c r="G22" s="25">
        <f t="shared" ref="G22:G27" si="8">SQRT(C22*C22+D22*D22+E22*E22)</f>
        <v>3.3166247903553998</v>
      </c>
    </row>
    <row r="23" spans="1:7" ht="12.75" hidden="1" customHeight="1" x14ac:dyDescent="0.25">
      <c r="C23" s="40">
        <f>MOD(C4,10)-5</f>
        <v>-3</v>
      </c>
      <c r="D23" s="40">
        <f>MOD(INT((C4/10)),10)-5</f>
        <v>0</v>
      </c>
      <c r="E23" s="40">
        <f>MOD(INT((C4/100)),10)-4</f>
        <v>-2</v>
      </c>
      <c r="G23" s="25">
        <f t="shared" si="8"/>
        <v>3.6055512754639891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40">
        <f>2+C21</f>
        <v>33</v>
      </c>
      <c r="D25" s="40">
        <f>3+D21</f>
        <v>0</v>
      </c>
      <c r="E25" s="40">
        <f>E21+50</f>
        <v>47</v>
      </c>
      <c r="G25" s="25">
        <f t="shared" si="8"/>
        <v>57.428216061444921</v>
      </c>
    </row>
    <row r="26" spans="1:7" ht="12.75" hidden="1" customHeight="1" x14ac:dyDescent="0.25">
      <c r="C26" s="44">
        <f>D21</f>
        <v>-3</v>
      </c>
      <c r="D26" s="44">
        <f>C22</f>
        <v>1</v>
      </c>
      <c r="E26" s="44">
        <f>E22</f>
        <v>3</v>
      </c>
      <c r="G26" s="25">
        <f t="shared" si="8"/>
        <v>4.358898943540674</v>
      </c>
    </row>
    <row r="27" spans="1:7" ht="12.75" hidden="1" customHeight="1" x14ac:dyDescent="0.25">
      <c r="A27" s="2"/>
      <c r="C27" s="44">
        <f>E23</f>
        <v>-2</v>
      </c>
      <c r="D27" s="44">
        <f>D21</f>
        <v>-3</v>
      </c>
      <c r="E27" s="44">
        <f>C21</f>
        <v>31</v>
      </c>
      <c r="G27" s="25">
        <f t="shared" si="8"/>
        <v>31.208973068654469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opLeftCell="A4" zoomScale="25" zoomScaleNormal="25" workbookViewId="0">
      <selection activeCell="D15" sqref="D15:E15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35" t="s">
        <v>35</v>
      </c>
      <c r="E2" s="36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27"/>
      <c r="E3" s="29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35" t="s">
        <v>13</v>
      </c>
      <c r="E5" s="36"/>
      <c r="F5" s="7"/>
      <c r="H5" s="14"/>
      <c r="I5" s="11"/>
      <c r="L5" s="14"/>
      <c r="M5" s="11"/>
    </row>
    <row r="6" spans="3:13" ht="138.75" customHeight="1" x14ac:dyDescent="0.2">
      <c r="C6" s="4"/>
      <c r="D6" s="27"/>
      <c r="E6" s="29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35" t="s">
        <v>30</v>
      </c>
      <c r="E8" s="36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27"/>
      <c r="E9" s="29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35" t="s">
        <v>4</v>
      </c>
      <c r="E11" s="36"/>
      <c r="F11" s="17"/>
      <c r="G11" s="18"/>
      <c r="H11" s="33" t="s">
        <v>16</v>
      </c>
      <c r="I11" s="34"/>
      <c r="J11" s="7"/>
      <c r="L11" s="14"/>
      <c r="M11" s="11"/>
    </row>
    <row r="12" spans="3:13" ht="93" customHeight="1" x14ac:dyDescent="0.2">
      <c r="C12" s="4"/>
      <c r="D12" s="27"/>
      <c r="E12" s="29"/>
      <c r="F12" s="15"/>
      <c r="G12" s="15"/>
      <c r="H12" s="27"/>
      <c r="I12" s="29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35" t="s">
        <v>11</v>
      </c>
      <c r="E14" s="36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27"/>
      <c r="E15" s="29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35" t="s">
        <v>3</v>
      </c>
      <c r="E17" s="36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27"/>
      <c r="E18" s="29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35" t="s">
        <v>7</v>
      </c>
      <c r="E20" s="36"/>
      <c r="F20" s="30" t="s">
        <v>32</v>
      </c>
      <c r="G20" s="32"/>
      <c r="H20" s="33" t="s">
        <v>1</v>
      </c>
      <c r="I20" s="34"/>
      <c r="J20" s="16"/>
      <c r="K20" s="11"/>
      <c r="L20" s="14"/>
      <c r="M20" s="11"/>
    </row>
    <row r="21" spans="1:13" ht="409.5" customHeight="1" x14ac:dyDescent="0.2">
      <c r="C21" s="4"/>
      <c r="D21" s="27"/>
      <c r="E21" s="29"/>
      <c r="F21" s="30"/>
      <c r="G21" s="32"/>
      <c r="H21" s="27"/>
      <c r="I21" s="29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35" t="s">
        <v>10</v>
      </c>
      <c r="E23" s="36"/>
      <c r="F23" s="8"/>
      <c r="G23" s="21"/>
      <c r="H23" s="21"/>
      <c r="I23" s="21"/>
      <c r="J23" s="9"/>
      <c r="K23" s="17"/>
      <c r="L23" s="33" t="s">
        <v>21</v>
      </c>
      <c r="M23" s="34"/>
    </row>
    <row r="24" spans="1:13" ht="113.25" customHeight="1" x14ac:dyDescent="0.2">
      <c r="C24" s="4"/>
      <c r="D24" s="27"/>
      <c r="E24" s="29"/>
      <c r="F24" s="5"/>
      <c r="G24" s="10"/>
      <c r="H24" s="10"/>
      <c r="I24" s="10"/>
      <c r="J24" s="6"/>
      <c r="K24" s="22"/>
      <c r="L24" s="27"/>
      <c r="M24" s="29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33" t="s">
        <v>18</v>
      </c>
      <c r="E26" s="34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27"/>
      <c r="E27" s="29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33" t="s">
        <v>33</v>
      </c>
      <c r="B29" s="34"/>
      <c r="C29" s="24"/>
      <c r="D29" s="35" t="s">
        <v>15</v>
      </c>
      <c r="E29" s="36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27"/>
      <c r="B30" s="29"/>
      <c r="C30" s="24"/>
      <c r="D30" s="27"/>
      <c r="E30" s="29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35" t="s">
        <v>12</v>
      </c>
      <c r="B32" s="36"/>
      <c r="C32" s="16" t="s">
        <v>32</v>
      </c>
      <c r="D32" s="35" t="s">
        <v>12</v>
      </c>
      <c r="E32" s="36"/>
      <c r="F32" s="30" t="s">
        <v>31</v>
      </c>
      <c r="G32" s="31"/>
      <c r="H32" s="31"/>
      <c r="I32" s="31"/>
      <c r="J32" s="31"/>
      <c r="K32" s="32"/>
      <c r="L32" s="35" t="s">
        <v>12</v>
      </c>
      <c r="M32" s="36"/>
    </row>
    <row r="33" spans="1:13" ht="409.5" customHeight="1" x14ac:dyDescent="0.2">
      <c r="A33" s="37"/>
      <c r="B33" s="28"/>
      <c r="C33" s="16"/>
      <c r="D33" s="27"/>
      <c r="E33" s="29"/>
      <c r="F33" s="30"/>
      <c r="G33" s="31"/>
      <c r="H33" s="31"/>
      <c r="I33" s="31"/>
      <c r="J33" s="31"/>
      <c r="K33" s="32"/>
      <c r="L33" s="27"/>
      <c r="M33" s="28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33" t="s">
        <v>20</v>
      </c>
      <c r="E35" s="34"/>
      <c r="F35" s="11"/>
    </row>
    <row r="36" spans="1:13" ht="213.75" customHeight="1" x14ac:dyDescent="0.2">
      <c r="C36" s="4"/>
      <c r="D36" s="27"/>
      <c r="E36" s="29"/>
      <c r="F36" s="11"/>
    </row>
    <row r="38" spans="1:13" ht="15.75" customHeight="1" x14ac:dyDescent="0.2">
      <c r="E38" s="25"/>
      <c r="F38" s="25"/>
      <c r="H38" s="27"/>
      <c r="I38" s="28"/>
    </row>
    <row r="91" ht="0.75" customHeight="1" x14ac:dyDescent="0.2"/>
  </sheetData>
  <mergeCells count="41">
    <mergeCell ref="D9:E9"/>
    <mergeCell ref="D2:E2"/>
    <mergeCell ref="D3:E3"/>
    <mergeCell ref="D5:E5"/>
    <mergeCell ref="D6:E6"/>
    <mergeCell ref="D8:E8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L23:M23"/>
    <mergeCell ref="D24:E24"/>
    <mergeCell ref="L24:M24"/>
    <mergeCell ref="D26:E26"/>
    <mergeCell ref="D35:E35"/>
    <mergeCell ref="L32:M32"/>
    <mergeCell ref="L33:M33"/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Robert Sheehy</cp:lastModifiedBy>
  <dcterms:created xsi:type="dcterms:W3CDTF">2011-10-19T09:55:01Z</dcterms:created>
  <dcterms:modified xsi:type="dcterms:W3CDTF">2026-10-05T08:33:04Z</dcterms:modified>
</cp:coreProperties>
</file>